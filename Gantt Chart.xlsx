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https://msoe365-my.sharepoint.com/personal/redrupm_msoe_edu/Documents/Desktop/baja-site/"/>
    </mc:Choice>
  </mc:AlternateContent>
  <xr:revisionPtr revIDLastSave="4" documentId="8_{6C94B329-109A-4A19-AAEB-75839B7E4A47}" xr6:coauthVersionLast="47" xr6:coauthVersionMax="47" xr10:uidLastSave="{0269C56A-40D6-44E8-874A-45E7BB0E8DD8}"/>
  <bookViews>
    <workbookView xWindow="-110" yWindow="-110" windowWidth="19420" windowHeight="11500" activeTab="1" xr2:uid="{00000000-000D-0000-FFFF-FFFF00000000}"/>
  </bookViews>
  <sheets>
    <sheet name="Project schedule" sheetId="11" r:id="rId1"/>
    <sheet name="To Do" sheetId="13"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1" l="1"/>
  <c r="H7" i="11"/>
  <c r="I5" i="11"/>
  <c r="H33" i="11"/>
  <c r="H32" i="11"/>
  <c r="H26" i="11"/>
  <c r="H20" i="11"/>
  <c r="H14" i="11"/>
  <c r="H8" i="11"/>
  <c r="H21" i="11"/>
  <c r="H22" i="11"/>
  <c r="H9" i="11"/>
  <c r="I6" i="11"/>
  <c r="H31" i="11"/>
  <c r="H28" i="11"/>
  <c r="H30" i="11"/>
  <c r="H27" i="11"/>
  <c r="H25" i="11"/>
  <c r="H10" i="11"/>
  <c r="H23" i="11"/>
  <c r="H15" i="11"/>
  <c r="H13" i="11"/>
  <c r="J5" i="11"/>
  <c r="K5" i="11"/>
  <c r="L5" i="11"/>
  <c r="M5" i="11"/>
  <c r="N5" i="11"/>
  <c r="O5" i="11"/>
  <c r="P5" i="11"/>
  <c r="I4" i="11"/>
  <c r="H29" i="11"/>
  <c r="H24" i="11"/>
  <c r="H16" i="11"/>
  <c r="H11" i="11"/>
  <c r="H12" i="11"/>
  <c r="P4" i="11"/>
  <c r="Q5" i="11"/>
  <c r="R5" i="11"/>
  <c r="S5" i="11"/>
  <c r="T5" i="11"/>
  <c r="U5" i="11"/>
  <c r="V5" i="11"/>
  <c r="W5" i="11"/>
  <c r="J6" i="11"/>
  <c r="H19" i="11"/>
  <c r="H18" i="11"/>
  <c r="H17" i="11"/>
  <c r="W4" i="11"/>
  <c r="X5" i="11"/>
  <c r="Y5" i="11"/>
  <c r="Z5" i="11"/>
  <c r="AA5" i="11"/>
  <c r="AB5" i="11"/>
  <c r="AC5" i="11"/>
  <c r="AD5" i="11"/>
  <c r="K6" i="11"/>
  <c r="AE5" i="11"/>
  <c r="AF5" i="11"/>
  <c r="AG5" i="11"/>
  <c r="AH5" i="11"/>
  <c r="AI5" i="11"/>
  <c r="AJ5" i="11"/>
  <c r="AD4" i="11"/>
  <c r="L6" i="11"/>
  <c r="AK5" i="11"/>
  <c r="AL5" i="11"/>
  <c r="AM5" i="11"/>
  <c r="AN5" i="11"/>
  <c r="AO5" i="11"/>
  <c r="AP5" i="11"/>
  <c r="AQ5" i="11"/>
  <c r="M6" i="11"/>
  <c r="AR5" i="11"/>
  <c r="AS5" i="11"/>
  <c r="AK4" i="11"/>
  <c r="N6" i="11"/>
  <c r="AT5" i="11"/>
  <c r="AS6" i="11"/>
  <c r="AR4" i="11"/>
  <c r="O6" i="11"/>
  <c r="AU5" i="11"/>
  <c r="AT6" i="11"/>
  <c r="AV5" i="11"/>
  <c r="AU6" i="11"/>
  <c r="P6" i="11"/>
  <c r="Q6" i="11"/>
  <c r="AW5" i="11"/>
  <c r="AV6" i="11"/>
  <c r="R6" i="11"/>
  <c r="AX5" i="11"/>
  <c r="AY5" i="11"/>
  <c r="AW6" i="11"/>
  <c r="S6" i="11"/>
  <c r="AY6" i="11"/>
  <c r="AZ5" i="11"/>
  <c r="AY4" i="11"/>
  <c r="AX6" i="11"/>
  <c r="T6" i="11"/>
  <c r="BA5" i="11"/>
  <c r="AZ6" i="11"/>
  <c r="U6" i="11"/>
  <c r="BA6" i="11"/>
  <c r="BB5" i="11"/>
  <c r="V6" i="11"/>
  <c r="BB6" i="11"/>
  <c r="BC5" i="11"/>
  <c r="W6" i="11"/>
  <c r="BC6" i="11"/>
  <c r="BD5" i="11"/>
  <c r="X6" i="11"/>
  <c r="BE5" i="11"/>
  <c r="BD6" i="11"/>
  <c r="Y6" i="11"/>
  <c r="BE6" i="11"/>
  <c r="BF5" i="11"/>
  <c r="Z6" i="11"/>
  <c r="BF6" i="11"/>
  <c r="BG5" i="11"/>
  <c r="BF4" i="11"/>
  <c r="AA6" i="11"/>
  <c r="BG6" i="11"/>
  <c r="BH5" i="11"/>
  <c r="AB6" i="11"/>
  <c r="BI5" i="11"/>
  <c r="BH6" i="11"/>
  <c r="AC6" i="11"/>
  <c r="BJ5" i="11"/>
  <c r="BI6" i="11"/>
  <c r="AD6" i="11"/>
  <c r="BK5" i="11"/>
  <c r="BJ6" i="11"/>
  <c r="AE6" i="11"/>
  <c r="BL5" i="11"/>
  <c r="BK6" i="11"/>
  <c r="AF6" i="11"/>
  <c r="BL6" i="11"/>
  <c r="AG6" i="11"/>
  <c r="AH6" i="11"/>
  <c r="AI6" i="11"/>
  <c r="AJ6" i="11"/>
  <c r="AK6" i="11"/>
  <c r="AL6" i="11"/>
  <c r="AM6" i="11"/>
  <c r="AN6" i="11"/>
  <c r="AO6" i="11"/>
  <c r="AP6" i="11"/>
  <c r="AQ6" i="11"/>
  <c r="AR6" i="11"/>
</calcChain>
</file>

<file path=xl/sharedStrings.xml><?xml version="1.0" encoding="utf-8"?>
<sst xmlns="http://schemas.openxmlformats.org/spreadsheetml/2006/main" count="69" uniqueCount="53">
  <si>
    <t>Website Dev.</t>
  </si>
  <si>
    <t>Project start:</t>
  </si>
  <si>
    <t>Media team</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</si>
  <si>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</si>
  <si>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</si>
  <si>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</si>
  <si>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</si>
  <si>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</si>
  <si>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</si>
  <si>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</si>
  <si>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</si>
  <si>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</si>
  <si>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General</t>
  </si>
  <si>
    <t>Navigation bar</t>
  </si>
  <si>
    <t>Footer</t>
  </si>
  <si>
    <t>Linking files</t>
  </si>
  <si>
    <t>Documentation</t>
  </si>
  <si>
    <t>Everyone</t>
  </si>
  <si>
    <t>Mobile</t>
  </si>
  <si>
    <t>Home</t>
  </si>
  <si>
    <t>Sildeshow</t>
  </si>
  <si>
    <t>Not Morgan</t>
  </si>
  <si>
    <t>Content</t>
  </si>
  <si>
    <t>Meet the team</t>
  </si>
  <si>
    <t>Morgan</t>
  </si>
  <si>
    <t>Sponsor reel</t>
  </si>
  <si>
    <t>Vehicles</t>
  </si>
  <si>
    <t>Current</t>
  </si>
  <si>
    <t>Past</t>
  </si>
  <si>
    <t>Progress bar</t>
  </si>
  <si>
    <t>Evaluation</t>
  </si>
  <si>
    <t>Insert new rows ABOVE this one</t>
  </si>
  <si>
    <t>Look better</t>
  </si>
  <si>
    <t>Correct content</t>
  </si>
  <si>
    <t>Morgan write documentation</t>
  </si>
  <si>
    <t>Slideshow photos</t>
  </si>
  <si>
    <t>Shift between pages</t>
  </si>
  <si>
    <t>People tell me how and where it should be written</t>
  </si>
  <si>
    <t>NEW LOGO</t>
  </si>
  <si>
    <t>Need photos</t>
  </si>
  <si>
    <t>Baja Blurb</t>
  </si>
  <si>
    <t>Fix formatting</t>
  </si>
  <si>
    <t>Get list of sponsors</t>
  </si>
  <si>
    <t>Link photos</t>
  </si>
  <si>
    <t>Vision</t>
  </si>
  <si>
    <t>Fix button</t>
  </si>
  <si>
    <t>Images</t>
  </si>
  <si>
    <t>Newsletter</t>
  </si>
  <si>
    <t>Figure it out</t>
  </si>
  <si>
    <t>Photos</t>
  </si>
  <si>
    <t>Specs</t>
  </si>
  <si>
    <t>Info</t>
  </si>
  <si>
    <t>Events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</si>
</sst>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6"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9"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07">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9" fillId="0" borderId="0" xfId="3"/>
    <xf numFmtId="0" fontId="9" fillId="0" borderId="0" xfId="3" applyAlignment="1">
      <alignment wrapText="1"/>
    </xf>
    <xf numFmtId="0" fontId="9" fillId="0" borderId="0" xfId="0" applyFont="1" applyAlignment="1">
      <alignment horizontal="center"/>
    </xf>
    <xf numFmtId="0" fontId="7" fillId="0" borderId="0" xfId="0" applyFont="1"/>
    <xf numFmtId="0" fontId="3" fillId="0" borderId="0" xfId="0" applyFont="1" applyAlignment="1">
      <alignment horizontal="center" vertical="center"/>
    </xf>
    <xf numFmtId="0" fontId="11"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center"/>
    </xf>
    <xf numFmtId="0" fontId="12" fillId="0" borderId="0" xfId="0" applyFont="1"/>
    <xf numFmtId="0" fontId="12" fillId="0" borderId="0" xfId="0" applyFont="1" applyAlignment="1">
      <alignment horizontal="center"/>
    </xf>
    <xf numFmtId="0" fontId="13" fillId="0" borderId="0" xfId="0" applyFont="1"/>
    <xf numFmtId="0" fontId="14"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17" fillId="12" borderId="20" xfId="0" applyNumberFormat="1" applyFont="1" applyFill="1" applyBorder="1" applyAlignment="1">
      <alignment horizontal="center" vertical="center"/>
    </xf>
    <xf numFmtId="167" fontId="17" fillId="12" borderId="18" xfId="0" applyNumberFormat="1" applyFont="1" applyFill="1" applyBorder="1" applyAlignment="1">
      <alignment horizontal="center" vertical="center"/>
    </xf>
    <xf numFmtId="167"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15" fillId="0" borderId="0" xfId="0" applyFont="1" applyAlignment="1">
      <alignment wrapText="1"/>
    </xf>
    <xf numFmtId="0" fontId="4" fillId="0" borderId="3" xfId="0" applyFont="1" applyBorder="1" applyAlignment="1">
      <alignment vertical="center"/>
    </xf>
    <xf numFmtId="0" fontId="19" fillId="6" borderId="0" xfId="0" applyFont="1" applyFill="1" applyAlignment="1">
      <alignment horizontal="left" vertical="center" indent="1"/>
    </xf>
    <xf numFmtId="0" fontId="15" fillId="6" borderId="0" xfId="11" applyFont="1" applyFill="1" applyBorder="1" applyAlignment="1">
      <alignment vertical="center"/>
    </xf>
    <xf numFmtId="9" fontId="1" fillId="6" borderId="0" xfId="2" applyFont="1" applyFill="1" applyBorder="1" applyAlignment="1">
      <alignment horizontal="center" vertical="center"/>
    </xf>
    <xf numFmtId="164" fontId="15"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0" fontId="15" fillId="3" borderId="6" xfId="11" applyFont="1" applyFill="1" applyBorder="1" applyAlignment="1">
      <alignment vertical="center"/>
    </xf>
    <xf numFmtId="9" fontId="1" fillId="3" borderId="6" xfId="2" applyFont="1" applyFill="1" applyBorder="1" applyAlignment="1">
      <alignment horizontal="center" vertical="center"/>
    </xf>
    <xf numFmtId="164" fontId="15" fillId="3" borderId="6" xfId="10" applyFont="1" applyFill="1" applyBorder="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0" fontId="15" fillId="3" borderId="7" xfId="11" applyFont="1" applyFill="1" applyBorder="1" applyAlignment="1">
      <alignment vertical="center"/>
    </xf>
    <xf numFmtId="9" fontId="1" fillId="3" borderId="7" xfId="2" applyFont="1" applyFill="1" applyBorder="1" applyAlignment="1">
      <alignment horizontal="center" vertical="center"/>
    </xf>
    <xf numFmtId="164" fontId="15" fillId="3" borderId="7" xfId="10" applyFont="1" applyFill="1" applyBorder="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0" fontId="15" fillId="7" borderId="0" xfId="11" applyFont="1" applyFill="1" applyBorder="1" applyAlignment="1">
      <alignment vertical="center"/>
    </xf>
    <xf numFmtId="9" fontId="1" fillId="7" borderId="0" xfId="2" applyFont="1" applyFill="1" applyBorder="1" applyAlignment="1">
      <alignment horizontal="center" vertical="center"/>
    </xf>
    <xf numFmtId="164" fontId="15"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5" fillId="4" borderId="5" xfId="12" applyFont="1" applyFill="1" applyBorder="1">
      <alignment horizontal="left" vertical="center" indent="2"/>
    </xf>
    <xf numFmtId="0" fontId="15" fillId="4" borderId="5" xfId="11" applyFont="1" applyFill="1" applyBorder="1" applyAlignment="1">
      <alignment vertical="center"/>
    </xf>
    <xf numFmtId="9" fontId="1" fillId="4" borderId="5" xfId="2" applyFont="1" applyFill="1" applyBorder="1" applyAlignment="1">
      <alignment horizontal="center" vertical="center"/>
    </xf>
    <xf numFmtId="164" fontId="15" fillId="4" borderId="5" xfId="10" applyFont="1" applyFill="1" applyBorder="1">
      <alignment horizontal="center" vertical="center"/>
    </xf>
    <xf numFmtId="0" fontId="19" fillId="8" borderId="0" xfId="0" applyFont="1" applyFill="1" applyAlignment="1">
      <alignment horizontal="left" vertical="center" indent="1"/>
    </xf>
    <xf numFmtId="0" fontId="15" fillId="8" borderId="0" xfId="11" applyFont="1" applyFill="1" applyBorder="1" applyAlignment="1">
      <alignment vertical="center"/>
    </xf>
    <xf numFmtId="9" fontId="1" fillId="8" borderId="0" xfId="2" applyFont="1" applyFill="1" applyBorder="1" applyAlignment="1">
      <alignment horizontal="center" vertical="center"/>
    </xf>
    <xf numFmtId="164" fontId="15"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5" fillId="5" borderId="8" xfId="12" applyFont="1" applyFill="1" applyBorder="1">
      <alignment horizontal="left" vertical="center" indent="2"/>
    </xf>
    <xf numFmtId="0" fontId="15" fillId="5" borderId="8" xfId="11" applyFont="1" applyFill="1" applyBorder="1" applyAlignment="1">
      <alignment vertical="center"/>
    </xf>
    <xf numFmtId="9" fontId="1" fillId="5" borderId="8" xfId="2" applyFont="1" applyFill="1" applyBorder="1" applyAlignment="1">
      <alignment horizontal="center" vertical="center"/>
    </xf>
    <xf numFmtId="164" fontId="15" fillId="5" borderId="8" xfId="10" applyFont="1" applyFill="1" applyBorder="1">
      <alignment horizontal="center" vertical="center"/>
    </xf>
    <xf numFmtId="0" fontId="19" fillId="9" borderId="0" xfId="0" applyFont="1" applyFill="1" applyAlignment="1">
      <alignment horizontal="left" vertical="center" indent="1"/>
    </xf>
    <xf numFmtId="0" fontId="15" fillId="9" borderId="0" xfId="11" applyFont="1" applyFill="1" applyBorder="1" applyAlignment="1">
      <alignment vertical="center"/>
    </xf>
    <xf numFmtId="9" fontId="1" fillId="9" borderId="0" xfId="2" applyFont="1" applyFill="1" applyBorder="1" applyAlignment="1">
      <alignment horizontal="center" vertical="center"/>
    </xf>
    <xf numFmtId="164" fontId="15"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5" fillId="10" borderId="9" xfId="12" applyFont="1" applyFill="1" applyBorder="1">
      <alignment horizontal="left" vertical="center" indent="2"/>
    </xf>
    <xf numFmtId="0" fontId="15" fillId="10" borderId="9" xfId="11" applyFont="1" applyFill="1" applyBorder="1" applyAlignment="1">
      <alignment vertical="center"/>
    </xf>
    <xf numFmtId="9" fontId="1" fillId="10" borderId="9" xfId="2" applyFont="1" applyFill="1" applyBorder="1" applyAlignment="1">
      <alignment horizontal="center" vertical="center"/>
    </xf>
    <xf numFmtId="164" fontId="15" fillId="10" borderId="9" xfId="10" applyFont="1" applyFill="1" applyBorder="1">
      <alignment horizontal="center" vertical="center"/>
    </xf>
    <xf numFmtId="0" fontId="15" fillId="0" borderId="0" xfId="12" applyFont="1" applyBorder="1">
      <alignment horizontal="left" vertical="center" indent="2"/>
    </xf>
    <xf numFmtId="0" fontId="15" fillId="0" borderId="0" xfId="11" applyFont="1" applyBorder="1" applyAlignment="1">
      <alignment vertical="center"/>
    </xf>
    <xf numFmtId="9" fontId="1" fillId="0" borderId="0" xfId="2" applyFont="1" applyBorder="1" applyAlignment="1">
      <alignment horizontal="center" vertical="center"/>
    </xf>
    <xf numFmtId="164" fontId="15" fillId="0" borderId="0" xfId="10" applyFont="1" applyBorder="1">
      <alignment horizontal="center" vertical="center"/>
    </xf>
    <xf numFmtId="0" fontId="20" fillId="2" borderId="0" xfId="0" applyFont="1" applyFill="1" applyAlignment="1">
      <alignment horizontal="left" vertical="center" indent="1"/>
    </xf>
    <xf numFmtId="0" fontId="20" fillId="2" borderId="0" xfId="0" applyFont="1" applyFill="1" applyAlignment="1">
      <alignment vertical="center"/>
    </xf>
    <xf numFmtId="9" fontId="1" fillId="2" borderId="0" xfId="2" applyFont="1" applyFill="1" applyBorder="1" applyAlignment="1">
      <alignment horizontal="center" vertical="center"/>
    </xf>
    <xf numFmtId="164" fontId="2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2" fillId="0" borderId="0" xfId="6" applyFont="1" applyAlignment="1">
      <alignment horizontal="left" vertical="center" indent="1"/>
    </xf>
    <xf numFmtId="0" fontId="22" fillId="0" borderId="0" xfId="7" applyFont="1" applyAlignment="1">
      <alignment horizontal="left" vertical="center" indent="1"/>
    </xf>
    <xf numFmtId="0" fontId="25" fillId="0" borderId="0" xfId="5" applyFont="1" applyAlignment="1">
      <alignment horizontal="left"/>
    </xf>
    <xf numFmtId="0" fontId="9" fillId="0" borderId="0" xfId="3" applyAlignment="1">
      <alignment wrapText="1"/>
    </xf>
    <xf numFmtId="0" fontId="16"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6" fillId="11" borderId="16" xfId="0" applyFont="1" applyFill="1" applyBorder="1" applyAlignment="1">
      <alignment vertical="center"/>
    </xf>
    <xf numFmtId="0" fontId="4" fillId="2" borderId="21" xfId="0" applyFont="1" applyFill="1" applyBorder="1"/>
    <xf numFmtId="0" fontId="16" fillId="11" borderId="16" xfId="0" applyFont="1" applyFill="1" applyBorder="1" applyAlignment="1">
      <alignment horizontal="center" vertical="center"/>
    </xf>
    <xf numFmtId="0" fontId="23" fillId="0" borderId="0" xfId="0" applyFont="1" applyAlignment="1">
      <alignment horizontal="left"/>
    </xf>
    <xf numFmtId="0" fontId="24" fillId="0" borderId="0" xfId="0" applyFont="1"/>
    <xf numFmtId="165" fontId="23" fillId="0" borderId="0" xfId="9" applyFont="1" applyBorder="1" applyAlignment="1">
      <alignment horizontal="left"/>
    </xf>
    <xf numFmtId="0" fontId="22" fillId="0" borderId="0" xfId="8" applyFont="1" applyAlignment="1">
      <alignment horizontal="left"/>
    </xf>
    <xf numFmtId="0" fontId="4" fillId="0" borderId="0" xfId="0" applyFont="1"/>
    <xf numFmtId="166" fontId="15" fillId="2" borderId="13" xfId="0" applyNumberFormat="1" applyFont="1" applyFill="1" applyBorder="1" applyAlignment="1">
      <alignment horizontal="center" vertical="center" wrapText="1"/>
    </xf>
    <xf numFmtId="166" fontId="15" fillId="2" borderId="19" xfId="0" applyNumberFormat="1" applyFont="1" applyFill="1" applyBorder="1" applyAlignment="1">
      <alignment horizontal="center" vertical="center" wrapText="1"/>
    </xf>
    <xf numFmtId="166" fontId="15" fillId="2" borderId="18"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showRuler="0" zoomScale="59" zoomScaleNormal="100" zoomScalePageLayoutView="70" workbookViewId="0">
      <selection activeCell="AO20" sqref="AO20"/>
    </sheetView>
  </sheetViews>
  <sheetFormatPr defaultColWidth="8.58203125" defaultRowHeight="30" customHeight="1" x14ac:dyDescent="0.3"/>
  <cols>
    <col min="1" max="1" width="2.58203125" style="7" customWidth="1"/>
    <col min="2" max="2" width="22.58203125" customWidth="1"/>
    <col min="3" max="3" width="16.58203125" customWidth="1"/>
    <col min="4" max="4" width="10.58203125" customWidth="1"/>
    <col min="5" max="5" width="10.58203125" style="2" customWidth="1"/>
    <col min="6" max="6" width="10.58203125" customWidth="1"/>
    <col min="7" max="7" width="2.58203125" customWidth="1"/>
    <col min="8" max="8" width="6" hidden="1" customWidth="1"/>
    <col min="9" max="65" width="2.58203125" customWidth="1"/>
  </cols>
  <sheetData>
    <row r="1" spans="1:64" ht="90" customHeight="1" x14ac:dyDescent="1.7">
      <c r="A1" s="8"/>
      <c r="B1" s="92" t="s">
        <v>0</v>
      </c>
      <c r="C1" s="12"/>
      <c r="D1" s="13"/>
      <c r="E1" s="14"/>
      <c r="F1" s="15"/>
      <c r="H1" s="1"/>
      <c r="I1" s="102" t="s">
        <v>1</v>
      </c>
      <c r="J1" s="103"/>
      <c r="K1" s="103"/>
      <c r="L1" s="103"/>
      <c r="M1" s="103"/>
      <c r="N1" s="103"/>
      <c r="O1" s="103"/>
      <c r="P1" s="18"/>
      <c r="Q1" s="101">
        <f ca="1">TODAY()</f>
        <v>45961</v>
      </c>
      <c r="R1" s="100"/>
      <c r="S1" s="100"/>
      <c r="T1" s="100"/>
      <c r="U1" s="100"/>
      <c r="V1" s="100"/>
      <c r="W1" s="100"/>
      <c r="X1" s="100"/>
      <c r="Y1" s="100"/>
      <c r="Z1" s="100"/>
    </row>
    <row r="2" spans="1:64" ht="30" customHeight="1" x14ac:dyDescent="0.7">
      <c r="B2" s="90" t="s">
        <v>2</v>
      </c>
      <c r="C2" s="91"/>
      <c r="D2" s="16"/>
      <c r="E2" s="17"/>
      <c r="F2" s="16"/>
      <c r="I2" s="102" t="s">
        <v>3</v>
      </c>
      <c r="J2" s="103"/>
      <c r="K2" s="103"/>
      <c r="L2" s="103"/>
      <c r="M2" s="103"/>
      <c r="N2" s="103"/>
      <c r="O2" s="103"/>
      <c r="P2" s="18"/>
      <c r="Q2" s="99">
        <v>1</v>
      </c>
      <c r="R2" s="100"/>
      <c r="S2" s="100"/>
      <c r="T2" s="100"/>
      <c r="U2" s="100"/>
      <c r="V2" s="100"/>
      <c r="W2" s="100"/>
      <c r="X2" s="100"/>
      <c r="Y2" s="100"/>
      <c r="Z2" s="100"/>
    </row>
    <row r="3" spans="1:64" s="20" customFormat="1" ht="30" customHeight="1" x14ac:dyDescent="0.3">
      <c r="A3" s="7"/>
      <c r="B3" s="19" t="s">
        <v>4</v>
      </c>
      <c r="D3" s="21"/>
      <c r="E3" s="22"/>
    </row>
    <row r="4" spans="1:64" s="20" customFormat="1" ht="30" customHeight="1" x14ac:dyDescent="0.3">
      <c r="A4" s="8"/>
      <c r="B4" s="23" t="s">
        <v>5</v>
      </c>
      <c r="E4" s="24"/>
      <c r="I4" s="106">
        <f ca="1">I5</f>
        <v>45957</v>
      </c>
      <c r="J4" s="104"/>
      <c r="K4" s="104"/>
      <c r="L4" s="104"/>
      <c r="M4" s="104"/>
      <c r="N4" s="104"/>
      <c r="O4" s="104"/>
      <c r="P4" s="104">
        <f ca="1">P5</f>
        <v>45964</v>
      </c>
      <c r="Q4" s="104"/>
      <c r="R4" s="104"/>
      <c r="S4" s="104"/>
      <c r="T4" s="104"/>
      <c r="U4" s="104"/>
      <c r="V4" s="104"/>
      <c r="W4" s="104">
        <f ca="1">W5</f>
        <v>45971</v>
      </c>
      <c r="X4" s="104"/>
      <c r="Y4" s="104"/>
      <c r="Z4" s="104"/>
      <c r="AA4" s="104"/>
      <c r="AB4" s="104"/>
      <c r="AC4" s="104"/>
      <c r="AD4" s="104">
        <f ca="1">AD5</f>
        <v>45978</v>
      </c>
      <c r="AE4" s="104"/>
      <c r="AF4" s="104"/>
      <c r="AG4" s="104"/>
      <c r="AH4" s="104"/>
      <c r="AI4" s="104"/>
      <c r="AJ4" s="104"/>
      <c r="AK4" s="104">
        <f ca="1">AK5</f>
        <v>45985</v>
      </c>
      <c r="AL4" s="104"/>
      <c r="AM4" s="104"/>
      <c r="AN4" s="104"/>
      <c r="AO4" s="104"/>
      <c r="AP4" s="104"/>
      <c r="AQ4" s="104"/>
      <c r="AR4" s="104">
        <f ca="1">AR5</f>
        <v>45992</v>
      </c>
      <c r="AS4" s="104"/>
      <c r="AT4" s="104"/>
      <c r="AU4" s="104"/>
      <c r="AV4" s="104"/>
      <c r="AW4" s="104"/>
      <c r="AX4" s="104"/>
      <c r="AY4" s="104">
        <f ca="1">AY5</f>
        <v>45999</v>
      </c>
      <c r="AZ4" s="104"/>
      <c r="BA4" s="104"/>
      <c r="BB4" s="104"/>
      <c r="BC4" s="104"/>
      <c r="BD4" s="104"/>
      <c r="BE4" s="104"/>
      <c r="BF4" s="104">
        <f ca="1">BF5</f>
        <v>46006</v>
      </c>
      <c r="BG4" s="104"/>
      <c r="BH4" s="104"/>
      <c r="BI4" s="104"/>
      <c r="BJ4" s="104"/>
      <c r="BK4" s="104"/>
      <c r="BL4" s="105"/>
    </row>
    <row r="5" spans="1:64" s="20" customFormat="1" ht="15" customHeight="1" x14ac:dyDescent="0.3">
      <c r="A5" s="93"/>
      <c r="B5" s="94" t="s">
        <v>6</v>
      </c>
      <c r="C5" s="96" t="s">
        <v>7</v>
      </c>
      <c r="D5" s="98" t="s">
        <v>8</v>
      </c>
      <c r="E5" s="98" t="s">
        <v>9</v>
      </c>
      <c r="F5" s="98" t="s">
        <v>10</v>
      </c>
      <c r="I5" s="25">
        <f ca="1">Project_Start-WEEKDAY(Project_Start,1)+2+7*(Display_Week-1)</f>
        <v>45957</v>
      </c>
      <c r="J5" s="25">
        <f ca="1">I5+1</f>
        <v>45958</v>
      </c>
      <c r="K5" s="25">
        <f t="shared" ref="K5:AX5" ca="1" si="0">J5+1</f>
        <v>45959</v>
      </c>
      <c r="L5" s="25">
        <f t="shared" ca="1" si="0"/>
        <v>45960</v>
      </c>
      <c r="M5" s="25">
        <f t="shared" ca="1" si="0"/>
        <v>45961</v>
      </c>
      <c r="N5" s="25">
        <f t="shared" ca="1" si="0"/>
        <v>45962</v>
      </c>
      <c r="O5" s="26">
        <f t="shared" ca="1" si="0"/>
        <v>45963</v>
      </c>
      <c r="P5" s="27">
        <f ca="1">O5+1</f>
        <v>45964</v>
      </c>
      <c r="Q5" s="25">
        <f ca="1">P5+1</f>
        <v>45965</v>
      </c>
      <c r="R5" s="25">
        <f t="shared" ca="1" si="0"/>
        <v>45966</v>
      </c>
      <c r="S5" s="25">
        <f t="shared" ca="1" si="0"/>
        <v>45967</v>
      </c>
      <c r="T5" s="25">
        <f t="shared" ca="1" si="0"/>
        <v>45968</v>
      </c>
      <c r="U5" s="25">
        <f t="shared" ca="1" si="0"/>
        <v>45969</v>
      </c>
      <c r="V5" s="26">
        <f t="shared" ca="1" si="0"/>
        <v>45970</v>
      </c>
      <c r="W5" s="27">
        <f ca="1">V5+1</f>
        <v>45971</v>
      </c>
      <c r="X5" s="25">
        <f ca="1">W5+1</f>
        <v>45972</v>
      </c>
      <c r="Y5" s="25">
        <f t="shared" ca="1" si="0"/>
        <v>45973</v>
      </c>
      <c r="Z5" s="25">
        <f t="shared" ca="1" si="0"/>
        <v>45974</v>
      </c>
      <c r="AA5" s="25">
        <f t="shared" ca="1" si="0"/>
        <v>45975</v>
      </c>
      <c r="AB5" s="25">
        <f t="shared" ca="1" si="0"/>
        <v>45976</v>
      </c>
      <c r="AC5" s="26">
        <f t="shared" ca="1" si="0"/>
        <v>45977</v>
      </c>
      <c r="AD5" s="27">
        <f ca="1">AC5+1</f>
        <v>45978</v>
      </c>
      <c r="AE5" s="25">
        <f ca="1">AD5+1</f>
        <v>45979</v>
      </c>
      <c r="AF5" s="25">
        <f t="shared" ca="1" si="0"/>
        <v>45980</v>
      </c>
      <c r="AG5" s="25">
        <f t="shared" ca="1" si="0"/>
        <v>45981</v>
      </c>
      <c r="AH5" s="25">
        <f t="shared" ca="1" si="0"/>
        <v>45982</v>
      </c>
      <c r="AI5" s="25">
        <f t="shared" ca="1" si="0"/>
        <v>45983</v>
      </c>
      <c r="AJ5" s="26">
        <f t="shared" ca="1" si="0"/>
        <v>45984</v>
      </c>
      <c r="AK5" s="27">
        <f ca="1">AJ5+1</f>
        <v>45985</v>
      </c>
      <c r="AL5" s="25">
        <f ca="1">AK5+1</f>
        <v>45986</v>
      </c>
      <c r="AM5" s="25">
        <f t="shared" ca="1" si="0"/>
        <v>45987</v>
      </c>
      <c r="AN5" s="25">
        <f t="shared" ca="1" si="0"/>
        <v>45988</v>
      </c>
      <c r="AO5" s="25">
        <f t="shared" ca="1" si="0"/>
        <v>45989</v>
      </c>
      <c r="AP5" s="25">
        <f t="shared" ca="1" si="0"/>
        <v>45990</v>
      </c>
      <c r="AQ5" s="26">
        <f t="shared" ca="1" si="0"/>
        <v>45991</v>
      </c>
      <c r="AR5" s="27">
        <f ca="1">AQ5+1</f>
        <v>45992</v>
      </c>
      <c r="AS5" s="25">
        <f ca="1">AR5+1</f>
        <v>45993</v>
      </c>
      <c r="AT5" s="25">
        <f t="shared" ca="1" si="0"/>
        <v>45994</v>
      </c>
      <c r="AU5" s="25">
        <f t="shared" ca="1" si="0"/>
        <v>45995</v>
      </c>
      <c r="AV5" s="25">
        <f t="shared" ca="1" si="0"/>
        <v>45996</v>
      </c>
      <c r="AW5" s="25">
        <f t="shared" ca="1" si="0"/>
        <v>45997</v>
      </c>
      <c r="AX5" s="26">
        <f t="shared" ca="1" si="0"/>
        <v>45998</v>
      </c>
      <c r="AY5" s="27">
        <f ca="1">AX5+1</f>
        <v>45999</v>
      </c>
      <c r="AZ5" s="25">
        <f ca="1">AY5+1</f>
        <v>46000</v>
      </c>
      <c r="BA5" s="25">
        <f t="shared" ref="BA5:BE5" ca="1" si="1">AZ5+1</f>
        <v>46001</v>
      </c>
      <c r="BB5" s="25">
        <f t="shared" ca="1" si="1"/>
        <v>46002</v>
      </c>
      <c r="BC5" s="25">
        <f t="shared" ca="1" si="1"/>
        <v>46003</v>
      </c>
      <c r="BD5" s="25">
        <f t="shared" ca="1" si="1"/>
        <v>46004</v>
      </c>
      <c r="BE5" s="26">
        <f t="shared" ca="1" si="1"/>
        <v>46005</v>
      </c>
      <c r="BF5" s="27">
        <f ca="1">BE5+1</f>
        <v>46006</v>
      </c>
      <c r="BG5" s="25">
        <f ca="1">BF5+1</f>
        <v>46007</v>
      </c>
      <c r="BH5" s="25">
        <f t="shared" ref="BH5:BL5" ca="1" si="2">BG5+1</f>
        <v>46008</v>
      </c>
      <c r="BI5" s="25">
        <f t="shared" ca="1" si="2"/>
        <v>46009</v>
      </c>
      <c r="BJ5" s="25">
        <f t="shared" ca="1" si="2"/>
        <v>46010</v>
      </c>
      <c r="BK5" s="25">
        <f t="shared" ca="1" si="2"/>
        <v>46011</v>
      </c>
      <c r="BL5" s="25">
        <f t="shared" ca="1" si="2"/>
        <v>46012</v>
      </c>
    </row>
    <row r="6" spans="1:64" s="20" customFormat="1" ht="15" customHeight="1" thickBot="1" x14ac:dyDescent="0.35">
      <c r="A6" s="93"/>
      <c r="B6" s="95"/>
      <c r="C6" s="97"/>
      <c r="D6" s="97"/>
      <c r="E6" s="97"/>
      <c r="F6" s="97"/>
      <c r="I6" s="28" t="str">
        <f t="shared" ref="I6:AN6" ca="1" si="3">LEFT(TEXT(I5,"ddd"),1)</f>
        <v>M</v>
      </c>
      <c r="J6" s="29" t="str">
        <f t="shared" ca="1" si="3"/>
        <v>T</v>
      </c>
      <c r="K6" s="29" t="str">
        <f t="shared" ca="1" si="3"/>
        <v>W</v>
      </c>
      <c r="L6" s="29" t="str">
        <f t="shared" ca="1" si="3"/>
        <v>T</v>
      </c>
      <c r="M6" s="29" t="str">
        <f t="shared" ca="1" si="3"/>
        <v>F</v>
      </c>
      <c r="N6" s="29" t="str">
        <f t="shared" ca="1" si="3"/>
        <v>S</v>
      </c>
      <c r="O6" s="29" t="str">
        <f t="shared" ca="1" si="3"/>
        <v>S</v>
      </c>
      <c r="P6" s="29" t="str">
        <f t="shared" ca="1" si="3"/>
        <v>M</v>
      </c>
      <c r="Q6" s="29" t="str">
        <f t="shared" ca="1" si="3"/>
        <v>T</v>
      </c>
      <c r="R6" s="29" t="str">
        <f t="shared" ca="1" si="3"/>
        <v>W</v>
      </c>
      <c r="S6" s="29" t="str">
        <f t="shared" ca="1" si="3"/>
        <v>T</v>
      </c>
      <c r="T6" s="29" t="str">
        <f t="shared" ca="1" si="3"/>
        <v>F</v>
      </c>
      <c r="U6" s="29" t="str">
        <f t="shared" ca="1" si="3"/>
        <v>S</v>
      </c>
      <c r="V6" s="29" t="str">
        <f t="shared" ca="1" si="3"/>
        <v>S</v>
      </c>
      <c r="W6" s="29" t="str">
        <f t="shared" ca="1" si="3"/>
        <v>M</v>
      </c>
      <c r="X6" s="29" t="str">
        <f t="shared" ca="1" si="3"/>
        <v>T</v>
      </c>
      <c r="Y6" s="29" t="str">
        <f t="shared" ca="1" si="3"/>
        <v>W</v>
      </c>
      <c r="Z6" s="29" t="str">
        <f t="shared" ca="1" si="3"/>
        <v>T</v>
      </c>
      <c r="AA6" s="29" t="str">
        <f t="shared" ca="1" si="3"/>
        <v>F</v>
      </c>
      <c r="AB6" s="29" t="str">
        <f t="shared" ca="1" si="3"/>
        <v>S</v>
      </c>
      <c r="AC6" s="29" t="str">
        <f t="shared" ca="1" si="3"/>
        <v>S</v>
      </c>
      <c r="AD6" s="29" t="str">
        <f t="shared" ca="1" si="3"/>
        <v>M</v>
      </c>
      <c r="AE6" s="29" t="str">
        <f t="shared" ca="1" si="3"/>
        <v>T</v>
      </c>
      <c r="AF6" s="29" t="str">
        <f t="shared" ca="1" si="3"/>
        <v>W</v>
      </c>
      <c r="AG6" s="29" t="str">
        <f t="shared" ca="1" si="3"/>
        <v>T</v>
      </c>
      <c r="AH6" s="29" t="str">
        <f t="shared" ca="1" si="3"/>
        <v>F</v>
      </c>
      <c r="AI6" s="29" t="str">
        <f t="shared" ca="1" si="3"/>
        <v>S</v>
      </c>
      <c r="AJ6" s="29" t="str">
        <f t="shared" ca="1" si="3"/>
        <v>S</v>
      </c>
      <c r="AK6" s="29" t="str">
        <f t="shared" ca="1" si="3"/>
        <v>M</v>
      </c>
      <c r="AL6" s="29" t="str">
        <f t="shared" ca="1" si="3"/>
        <v>T</v>
      </c>
      <c r="AM6" s="29" t="str">
        <f t="shared" ca="1" si="3"/>
        <v>W</v>
      </c>
      <c r="AN6" s="29" t="str">
        <f t="shared" ca="1" si="3"/>
        <v>T</v>
      </c>
      <c r="AO6" s="29" t="str">
        <f t="shared" ref="AO6:BL6" ca="1" si="4">LEFT(TEXT(AO5,"ddd"),1)</f>
        <v>F</v>
      </c>
      <c r="AP6" s="29" t="str">
        <f t="shared" ca="1" si="4"/>
        <v>S</v>
      </c>
      <c r="AQ6" s="29" t="str">
        <f t="shared" ca="1" si="4"/>
        <v>S</v>
      </c>
      <c r="AR6" s="29" t="str">
        <f t="shared" ca="1" si="4"/>
        <v>M</v>
      </c>
      <c r="AS6" s="29" t="str">
        <f t="shared" ca="1" si="4"/>
        <v>T</v>
      </c>
      <c r="AT6" s="29" t="str">
        <f t="shared" ca="1" si="4"/>
        <v>W</v>
      </c>
      <c r="AU6" s="29" t="str">
        <f t="shared" ca="1" si="4"/>
        <v>T</v>
      </c>
      <c r="AV6" s="29" t="str">
        <f t="shared" ca="1" si="4"/>
        <v>F</v>
      </c>
      <c r="AW6" s="29" t="str">
        <f t="shared" ca="1" si="4"/>
        <v>S</v>
      </c>
      <c r="AX6" s="29" t="str">
        <f t="shared" ca="1" si="4"/>
        <v>S</v>
      </c>
      <c r="AY6" s="29" t="str">
        <f t="shared" ca="1" si="4"/>
        <v>M</v>
      </c>
      <c r="AZ6" s="29" t="str">
        <f t="shared" ca="1" si="4"/>
        <v>T</v>
      </c>
      <c r="BA6" s="29" t="str">
        <f t="shared" ca="1" si="4"/>
        <v>W</v>
      </c>
      <c r="BB6" s="29" t="str">
        <f t="shared" ca="1" si="4"/>
        <v>T</v>
      </c>
      <c r="BC6" s="29" t="str">
        <f t="shared" ca="1" si="4"/>
        <v>F</v>
      </c>
      <c r="BD6" s="29" t="str">
        <f t="shared" ca="1" si="4"/>
        <v>S</v>
      </c>
      <c r="BE6" s="29" t="str">
        <f t="shared" ca="1" si="4"/>
        <v>S</v>
      </c>
      <c r="BF6" s="29" t="str">
        <f t="shared" ca="1" si="4"/>
        <v>M</v>
      </c>
      <c r="BG6" s="29" t="str">
        <f t="shared" ca="1" si="4"/>
        <v>T</v>
      </c>
      <c r="BH6" s="29" t="str">
        <f t="shared" ca="1" si="4"/>
        <v>W</v>
      </c>
      <c r="BI6" s="29" t="str">
        <f t="shared" ca="1" si="4"/>
        <v>T</v>
      </c>
      <c r="BJ6" s="29" t="str">
        <f t="shared" ca="1" si="4"/>
        <v>F</v>
      </c>
      <c r="BK6" s="29" t="str">
        <f t="shared" ca="1" si="4"/>
        <v>S</v>
      </c>
      <c r="BL6" s="30" t="str">
        <f t="shared" ca="1" si="4"/>
        <v>S</v>
      </c>
    </row>
    <row r="7" spans="1:64" s="20" customFormat="1" ht="30" hidden="1" customHeight="1" thickBot="1" x14ac:dyDescent="0.35">
      <c r="A7" s="7" t="s">
        <v>11</v>
      </c>
      <c r="B7" s="31"/>
      <c r="C7" s="32"/>
      <c r="D7" s="31"/>
      <c r="E7" s="31"/>
      <c r="F7" s="31"/>
      <c r="H7" s="20" t="str">
        <f>IF(OR(ISBLANK(task_start),ISBLANK(task_end)),"",task_end-task_start+1)</f>
        <v/>
      </c>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row>
    <row r="8" spans="1:64" s="40" customFormat="1" ht="30" customHeight="1" thickBot="1" x14ac:dyDescent="0.35">
      <c r="A8" s="8"/>
      <c r="B8" s="34" t="s">
        <v>12</v>
      </c>
      <c r="C8" s="35"/>
      <c r="D8" s="36"/>
      <c r="E8" s="37"/>
      <c r="F8" s="38"/>
      <c r="G8" s="11"/>
      <c r="H8" s="5" t="str">
        <f t="shared" ref="H8:H33" si="5">IF(OR(ISBLANK(task_start),ISBLANK(task_end)),"",task_end-task_start+1)</f>
        <v/>
      </c>
      <c r="I8" s="39"/>
      <c r="J8" s="39"/>
      <c r="K8" s="39"/>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39"/>
      <c r="BC8" s="39"/>
      <c r="BD8" s="39"/>
      <c r="BE8" s="39"/>
      <c r="BF8" s="39"/>
      <c r="BG8" s="39"/>
      <c r="BH8" s="39"/>
      <c r="BI8" s="39"/>
      <c r="BJ8" s="39"/>
      <c r="BK8" s="39"/>
      <c r="BL8" s="39"/>
    </row>
    <row r="9" spans="1:64" s="40" customFormat="1" ht="30" customHeight="1" thickBot="1" x14ac:dyDescent="0.35">
      <c r="A9" s="8"/>
      <c r="B9" s="41" t="s">
        <v>13</v>
      </c>
      <c r="C9" s="42"/>
      <c r="D9" s="43">
        <v>0.5</v>
      </c>
      <c r="E9" s="44">
        <v>45960</v>
      </c>
      <c r="F9" s="44">
        <v>45967</v>
      </c>
      <c r="G9" s="11"/>
      <c r="H9" s="5">
        <f t="shared" si="5"/>
        <v>8</v>
      </c>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K9" s="45"/>
      <c r="BL9" s="45"/>
    </row>
    <row r="10" spans="1:64" s="40" customFormat="1" ht="30" customHeight="1" thickBot="1" x14ac:dyDescent="0.35">
      <c r="A10" s="8"/>
      <c r="B10" s="46" t="s">
        <v>14</v>
      </c>
      <c r="C10" s="47"/>
      <c r="D10" s="48">
        <v>0.85</v>
      </c>
      <c r="E10" s="49">
        <v>45960</v>
      </c>
      <c r="F10" s="49">
        <v>45967</v>
      </c>
      <c r="G10" s="11"/>
      <c r="H10" s="5">
        <f t="shared" si="5"/>
        <v>8</v>
      </c>
      <c r="I10" s="45"/>
      <c r="J10" s="45"/>
      <c r="K10" s="45"/>
      <c r="L10" s="45"/>
      <c r="M10" s="45"/>
      <c r="N10" s="45"/>
      <c r="O10" s="45"/>
      <c r="P10" s="45"/>
      <c r="Q10" s="45"/>
      <c r="R10" s="45"/>
      <c r="S10" s="45"/>
      <c r="T10" s="45"/>
      <c r="U10" s="50"/>
      <c r="V10" s="50"/>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K10" s="45"/>
      <c r="BL10" s="45"/>
    </row>
    <row r="11" spans="1:64" s="40" customFormat="1" ht="30" customHeight="1" thickBot="1" x14ac:dyDescent="0.35">
      <c r="A11" s="7"/>
      <c r="B11" s="46" t="s">
        <v>15</v>
      </c>
      <c r="C11" s="47"/>
      <c r="D11" s="48"/>
      <c r="E11" s="49"/>
      <c r="F11" s="49"/>
      <c r="G11" s="11"/>
      <c r="H11" s="5" t="str">
        <f t="shared" si="5"/>
        <v/>
      </c>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K11" s="45"/>
      <c r="BL11" s="45"/>
    </row>
    <row r="12" spans="1:64" s="40" customFormat="1" ht="30" customHeight="1" thickBot="1" x14ac:dyDescent="0.35">
      <c r="A12" s="7"/>
      <c r="B12" s="46" t="s">
        <v>16</v>
      </c>
      <c r="C12" s="47" t="s">
        <v>17</v>
      </c>
      <c r="D12" s="48">
        <v>0.1</v>
      </c>
      <c r="E12" s="49">
        <v>45960</v>
      </c>
      <c r="F12" s="49">
        <v>45967</v>
      </c>
      <c r="G12" s="11"/>
      <c r="H12" s="5">
        <f t="shared" si="5"/>
        <v>8</v>
      </c>
      <c r="I12" s="45"/>
      <c r="J12" s="45"/>
      <c r="K12" s="45"/>
      <c r="L12" s="45"/>
      <c r="M12" s="45"/>
      <c r="N12" s="45"/>
      <c r="O12" s="45"/>
      <c r="P12" s="45"/>
      <c r="Q12" s="45"/>
      <c r="R12" s="45"/>
      <c r="S12" s="45"/>
      <c r="T12" s="45"/>
      <c r="U12" s="45"/>
      <c r="V12" s="45"/>
      <c r="W12" s="45"/>
      <c r="X12" s="45"/>
      <c r="Y12" s="50"/>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K12" s="45"/>
      <c r="BL12" s="45"/>
    </row>
    <row r="13" spans="1:64" s="40" customFormat="1" ht="30" customHeight="1" thickBot="1" x14ac:dyDescent="0.35">
      <c r="A13" s="7"/>
      <c r="B13" s="46" t="s">
        <v>18</v>
      </c>
      <c r="C13" s="47"/>
      <c r="D13" s="48"/>
      <c r="E13" s="49"/>
      <c r="F13" s="49"/>
      <c r="G13" s="11"/>
      <c r="H13" s="5" t="str">
        <f t="shared" si="5"/>
        <v/>
      </c>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K13" s="45"/>
      <c r="BL13" s="45"/>
    </row>
    <row r="14" spans="1:64" s="40" customFormat="1" ht="30" customHeight="1" thickBot="1" x14ac:dyDescent="0.35">
      <c r="A14" s="8"/>
      <c r="B14" s="51" t="s">
        <v>19</v>
      </c>
      <c r="C14" s="52"/>
      <c r="D14" s="53"/>
      <c r="E14" s="54"/>
      <c r="F14" s="55"/>
      <c r="G14" s="11"/>
      <c r="H14" s="5" t="str">
        <f t="shared" si="5"/>
        <v/>
      </c>
    </row>
    <row r="15" spans="1:64" s="40" customFormat="1" ht="30" customHeight="1" thickBot="1" x14ac:dyDescent="0.35">
      <c r="A15" s="8"/>
      <c r="B15" s="56" t="s">
        <v>20</v>
      </c>
      <c r="C15" s="57" t="s">
        <v>21</v>
      </c>
      <c r="D15" s="58">
        <v>0.75</v>
      </c>
      <c r="E15" s="59">
        <v>45960</v>
      </c>
      <c r="F15" s="59">
        <v>45967</v>
      </c>
      <c r="G15" s="11"/>
      <c r="H15" s="5">
        <f t="shared" si="5"/>
        <v>8</v>
      </c>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K15" s="45"/>
      <c r="BL15" s="45"/>
    </row>
    <row r="16" spans="1:64" s="40" customFormat="1" ht="30" customHeight="1" thickBot="1" x14ac:dyDescent="0.35">
      <c r="A16" s="7"/>
      <c r="B16" s="56" t="s">
        <v>22</v>
      </c>
      <c r="C16" s="57"/>
      <c r="D16" s="58"/>
      <c r="E16" s="59"/>
      <c r="F16" s="59"/>
      <c r="G16" s="11"/>
      <c r="H16" s="5" t="str">
        <f t="shared" si="5"/>
        <v/>
      </c>
      <c r="I16" s="45"/>
      <c r="J16" s="45"/>
      <c r="K16" s="45"/>
      <c r="L16" s="45"/>
      <c r="M16" s="45"/>
      <c r="N16" s="45"/>
      <c r="O16" s="45"/>
      <c r="P16" s="45"/>
      <c r="Q16" s="45"/>
      <c r="R16" s="45"/>
      <c r="S16" s="45"/>
      <c r="T16" s="45"/>
      <c r="U16" s="50"/>
      <c r="V16" s="50"/>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K16" s="45"/>
      <c r="BL16" s="45"/>
    </row>
    <row r="17" spans="1:64" s="40" customFormat="1" ht="30" customHeight="1" thickBot="1" x14ac:dyDescent="0.35">
      <c r="A17" s="7"/>
      <c r="B17" s="56" t="s">
        <v>23</v>
      </c>
      <c r="C17" s="57" t="s">
        <v>24</v>
      </c>
      <c r="D17" s="58">
        <v>0.5</v>
      </c>
      <c r="E17" s="59">
        <v>103025</v>
      </c>
      <c r="F17" s="59">
        <v>45967</v>
      </c>
      <c r="G17" s="11"/>
      <c r="H17" s="5">
        <f t="shared" si="5"/>
        <v>-57057</v>
      </c>
      <c r="I17" s="45"/>
      <c r="J17" s="45"/>
      <c r="K17" s="45"/>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K17" s="45"/>
      <c r="BL17" s="45"/>
    </row>
    <row r="18" spans="1:64" s="40" customFormat="1" ht="30" customHeight="1" thickBot="1" x14ac:dyDescent="0.35">
      <c r="A18" s="7"/>
      <c r="B18" s="56" t="s">
        <v>25</v>
      </c>
      <c r="C18" s="57"/>
      <c r="D18" s="58"/>
      <c r="E18" s="59"/>
      <c r="F18" s="59"/>
      <c r="G18" s="11"/>
      <c r="H18" s="5" t="str">
        <f t="shared" si="5"/>
        <v/>
      </c>
      <c r="I18" s="45"/>
      <c r="J18" s="45"/>
      <c r="K18" s="45"/>
      <c r="L18" s="45"/>
      <c r="M18" s="45"/>
      <c r="N18" s="45"/>
      <c r="O18" s="45"/>
      <c r="P18" s="45"/>
      <c r="Q18" s="45"/>
      <c r="R18" s="45"/>
      <c r="S18" s="45"/>
      <c r="T18" s="45"/>
      <c r="U18" s="45"/>
      <c r="V18" s="45"/>
      <c r="W18" s="45"/>
      <c r="X18" s="45"/>
      <c r="Y18" s="50"/>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K18" s="45"/>
      <c r="BL18" s="45"/>
    </row>
    <row r="19" spans="1:64" s="40" customFormat="1" ht="30" customHeight="1" thickBot="1" x14ac:dyDescent="0.35">
      <c r="A19" s="7"/>
      <c r="B19" s="56"/>
      <c r="C19" s="57"/>
      <c r="D19" s="58"/>
      <c r="E19" s="59"/>
      <c r="F19" s="59"/>
      <c r="G19" s="11"/>
      <c r="H19" s="5" t="str">
        <f t="shared" si="5"/>
        <v/>
      </c>
      <c r="I19" s="45"/>
      <c r="J19" s="45"/>
      <c r="K19" s="45"/>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K19" s="45"/>
      <c r="BL19" s="45"/>
    </row>
    <row r="20" spans="1:64" s="40" customFormat="1" ht="30" customHeight="1" thickBot="1" x14ac:dyDescent="0.35">
      <c r="A20" s="7"/>
      <c r="B20" s="60" t="s">
        <v>26</v>
      </c>
      <c r="C20" s="61"/>
      <c r="D20" s="62"/>
      <c r="E20" s="63"/>
      <c r="F20" s="64"/>
      <c r="G20" s="11"/>
      <c r="H20" s="5" t="str">
        <f t="shared" si="5"/>
        <v/>
      </c>
      <c r="I20" s="65"/>
      <c r="J20" s="65"/>
      <c r="K20" s="65"/>
      <c r="L20" s="65"/>
      <c r="M20" s="65"/>
      <c r="N20" s="65"/>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c r="AY20" s="65"/>
      <c r="AZ20" s="65"/>
      <c r="BA20" s="65"/>
      <c r="BB20" s="65"/>
      <c r="BC20" s="65"/>
      <c r="BD20" s="65"/>
      <c r="BE20" s="65"/>
      <c r="BF20" s="65"/>
      <c r="BG20" s="65"/>
      <c r="BH20" s="65"/>
      <c r="BI20" s="65"/>
      <c r="BJ20" s="65"/>
      <c r="BK20" s="65"/>
      <c r="BL20" s="65"/>
    </row>
    <row r="21" spans="1:64" s="40" customFormat="1" ht="30" customHeight="1" thickBot="1" x14ac:dyDescent="0.35">
      <c r="A21" s="7"/>
      <c r="B21" s="66" t="s">
        <v>27</v>
      </c>
      <c r="C21" s="67"/>
      <c r="D21" s="68"/>
      <c r="E21" s="69"/>
      <c r="F21" s="69"/>
      <c r="G21" s="11"/>
      <c r="H21" s="5" t="str">
        <f t="shared" si="5"/>
        <v/>
      </c>
      <c r="I21" s="45"/>
      <c r="J21" s="45"/>
      <c r="K21" s="45"/>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K21" s="45"/>
      <c r="BL21" s="45"/>
    </row>
    <row r="22" spans="1:64" s="40" customFormat="1" ht="30" customHeight="1" thickBot="1" x14ac:dyDescent="0.35">
      <c r="A22" s="7"/>
      <c r="B22" s="66" t="s">
        <v>28</v>
      </c>
      <c r="C22" s="67"/>
      <c r="D22" s="68"/>
      <c r="E22" s="69"/>
      <c r="F22" s="69"/>
      <c r="G22" s="11"/>
      <c r="H22" s="5" t="str">
        <f t="shared" si="5"/>
        <v/>
      </c>
      <c r="I22" s="45"/>
      <c r="J22" s="45"/>
      <c r="K22" s="45"/>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K22" s="45"/>
      <c r="BL22" s="45"/>
    </row>
    <row r="23" spans="1:64" s="40" customFormat="1" ht="30" customHeight="1" thickBot="1" x14ac:dyDescent="0.35">
      <c r="A23" s="7"/>
      <c r="B23" s="66" t="s">
        <v>29</v>
      </c>
      <c r="C23" s="67"/>
      <c r="D23" s="68"/>
      <c r="E23" s="69"/>
      <c r="F23" s="69"/>
      <c r="G23" s="11"/>
      <c r="H23" s="5" t="str">
        <f t="shared" si="5"/>
        <v/>
      </c>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K23" s="45"/>
      <c r="BL23" s="45"/>
    </row>
    <row r="24" spans="1:64" s="40" customFormat="1" ht="30" customHeight="1" thickBot="1" x14ac:dyDescent="0.35">
      <c r="A24" s="7"/>
      <c r="B24" s="66"/>
      <c r="C24" s="67"/>
      <c r="D24" s="68"/>
      <c r="E24" s="69"/>
      <c r="F24" s="69"/>
      <c r="G24" s="11"/>
      <c r="H24" s="5" t="str">
        <f t="shared" si="5"/>
        <v/>
      </c>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K24" s="45"/>
      <c r="BL24" s="45"/>
    </row>
    <row r="25" spans="1:64" s="40" customFormat="1" ht="30" customHeight="1" thickBot="1" x14ac:dyDescent="0.35">
      <c r="A25" s="7"/>
      <c r="B25" s="66"/>
      <c r="C25" s="67"/>
      <c r="D25" s="68"/>
      <c r="E25" s="69"/>
      <c r="F25" s="69"/>
      <c r="G25" s="11"/>
      <c r="H25" s="5" t="str">
        <f t="shared" si="5"/>
        <v/>
      </c>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K25" s="45"/>
      <c r="BL25" s="45"/>
    </row>
    <row r="26" spans="1:64" s="40" customFormat="1" ht="30" customHeight="1" thickBot="1" x14ac:dyDescent="0.35">
      <c r="A26" s="7"/>
      <c r="B26" s="70" t="s">
        <v>30</v>
      </c>
      <c r="C26" s="71"/>
      <c r="D26" s="72"/>
      <c r="E26" s="73"/>
      <c r="F26" s="74"/>
      <c r="G26" s="11"/>
      <c r="H26" s="5" t="str">
        <f t="shared" si="5"/>
        <v/>
      </c>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c r="BB26" s="75"/>
      <c r="BC26" s="75"/>
      <c r="BD26" s="75"/>
      <c r="BE26" s="75"/>
      <c r="BF26" s="75"/>
      <c r="BG26" s="75"/>
      <c r="BH26" s="75"/>
      <c r="BI26" s="75"/>
      <c r="BJ26" s="75"/>
      <c r="BK26" s="75"/>
      <c r="BL26" s="75"/>
    </row>
    <row r="27" spans="1:64" s="40" customFormat="1" ht="30" customHeight="1" thickBot="1" x14ac:dyDescent="0.35">
      <c r="A27" s="7"/>
      <c r="B27" s="76"/>
      <c r="C27" s="77"/>
      <c r="D27" s="78"/>
      <c r="E27" s="79"/>
      <c r="F27" s="79"/>
      <c r="G27" s="11"/>
      <c r="H27" s="5" t="str">
        <f t="shared" si="5"/>
        <v/>
      </c>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K27" s="45"/>
      <c r="BL27" s="45"/>
    </row>
    <row r="28" spans="1:64" s="40" customFormat="1" ht="30" customHeight="1" thickBot="1" x14ac:dyDescent="0.35">
      <c r="A28" s="7"/>
      <c r="B28" s="76"/>
      <c r="C28" s="77"/>
      <c r="D28" s="78"/>
      <c r="E28" s="79"/>
      <c r="F28" s="79"/>
      <c r="G28" s="11"/>
      <c r="H28" s="5" t="str">
        <f t="shared" si="5"/>
        <v/>
      </c>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K28" s="45"/>
      <c r="BL28" s="45"/>
    </row>
    <row r="29" spans="1:64" s="40" customFormat="1" ht="30" customHeight="1" thickBot="1" x14ac:dyDescent="0.35">
      <c r="A29" s="7"/>
      <c r="B29" s="76"/>
      <c r="C29" s="77"/>
      <c r="D29" s="78"/>
      <c r="E29" s="79"/>
      <c r="F29" s="79"/>
      <c r="G29" s="11"/>
      <c r="H29" s="5" t="str">
        <f t="shared" si="5"/>
        <v/>
      </c>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K29" s="45"/>
      <c r="BL29" s="45"/>
    </row>
    <row r="30" spans="1:64" s="40" customFormat="1" ht="30" customHeight="1" thickBot="1" x14ac:dyDescent="0.35">
      <c r="A30" s="7"/>
      <c r="B30" s="76"/>
      <c r="C30" s="77"/>
      <c r="D30" s="78"/>
      <c r="E30" s="79"/>
      <c r="F30" s="79"/>
      <c r="G30" s="11"/>
      <c r="H30" s="5" t="str">
        <f t="shared" si="5"/>
        <v/>
      </c>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K30" s="45"/>
      <c r="BL30" s="45"/>
    </row>
    <row r="31" spans="1:64" s="40" customFormat="1" ht="30" customHeight="1" thickBot="1" x14ac:dyDescent="0.35">
      <c r="A31" s="7"/>
      <c r="B31" s="76"/>
      <c r="C31" s="77"/>
      <c r="D31" s="78"/>
      <c r="E31" s="79"/>
      <c r="F31" s="79"/>
      <c r="G31" s="11"/>
      <c r="H31" s="5" t="str">
        <f t="shared" si="5"/>
        <v/>
      </c>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K31" s="45"/>
      <c r="BL31" s="45"/>
    </row>
    <row r="32" spans="1:64" s="40" customFormat="1" ht="30" customHeight="1" thickBot="1" x14ac:dyDescent="0.35">
      <c r="A32" s="7"/>
      <c r="B32" s="80"/>
      <c r="C32" s="81"/>
      <c r="D32" s="82"/>
      <c r="E32" s="83"/>
      <c r="F32" s="83"/>
      <c r="G32" s="11"/>
      <c r="H32" s="5" t="str">
        <f t="shared" si="5"/>
        <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row>
    <row r="33" spans="1:64" s="40" customFormat="1" ht="30" customHeight="1" thickBot="1" x14ac:dyDescent="0.35">
      <c r="A33" s="8"/>
      <c r="B33" s="84" t="s">
        <v>31</v>
      </c>
      <c r="C33" s="85"/>
      <c r="D33" s="86"/>
      <c r="E33" s="87"/>
      <c r="F33" s="88"/>
      <c r="G33" s="11"/>
      <c r="H33" s="6" t="str">
        <f t="shared" si="5"/>
        <v/>
      </c>
      <c r="I33" s="89"/>
      <c r="J33" s="89"/>
      <c r="K33" s="89"/>
      <c r="L33" s="89"/>
      <c r="M33" s="89"/>
      <c r="N33" s="89"/>
      <c r="O33" s="89"/>
      <c r="P33" s="89"/>
      <c r="Q33" s="89"/>
      <c r="R33" s="89"/>
      <c r="S33" s="89"/>
      <c r="T33" s="89"/>
      <c r="U33" s="89"/>
      <c r="V33" s="89"/>
      <c r="W33" s="89"/>
      <c r="X33" s="89"/>
      <c r="Y33" s="89"/>
      <c r="Z33" s="89"/>
      <c r="AA33" s="89"/>
      <c r="AB33" s="89"/>
      <c r="AC33" s="89"/>
      <c r="AD33" s="89"/>
      <c r="AE33" s="89"/>
      <c r="AF33" s="89"/>
      <c r="AG33" s="89"/>
      <c r="AH33" s="89"/>
      <c r="AI33" s="89"/>
      <c r="AJ33" s="89"/>
      <c r="AK33" s="89"/>
      <c r="AL33" s="89"/>
      <c r="AM33" s="89"/>
      <c r="AN33" s="89"/>
      <c r="AO33" s="89"/>
      <c r="AP33" s="89"/>
      <c r="AQ33" s="89"/>
      <c r="AR33" s="89"/>
      <c r="AS33" s="89"/>
      <c r="AT33" s="89"/>
      <c r="AU33" s="89"/>
      <c r="AV33" s="89"/>
      <c r="AW33" s="89"/>
      <c r="AX33" s="89"/>
      <c r="AY33" s="89"/>
      <c r="AZ33" s="89"/>
      <c r="BA33" s="89"/>
      <c r="BB33" s="89"/>
      <c r="BC33" s="89"/>
      <c r="BD33" s="89"/>
      <c r="BE33" s="89"/>
      <c r="BF33" s="89"/>
      <c r="BG33" s="89"/>
      <c r="BH33" s="89"/>
      <c r="BI33" s="89"/>
      <c r="BJ33" s="89"/>
      <c r="BK33" s="89"/>
      <c r="BL33" s="89"/>
    </row>
    <row r="34" spans="1:64" ht="30" customHeight="1" x14ac:dyDescent="0.3">
      <c r="G34" s="3"/>
    </row>
    <row r="35" spans="1:64" ht="30" customHeight="1" x14ac:dyDescent="0.3">
      <c r="C35" s="10"/>
      <c r="F35" s="9"/>
    </row>
    <row r="36" spans="1:64" ht="30" customHeight="1" x14ac:dyDescent="0.3">
      <c r="C36"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33">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31">
    <cfRule type="expression" dxfId="8" priority="1">
      <formula>AND(TODAY()&gt;=I$5, TODAY()&lt;J$5)</formula>
    </cfRule>
  </conditionalFormatting>
  <conditionalFormatting sqref="I9:BL13">
    <cfRule type="expression" dxfId="7" priority="6">
      <formula>AND(task_start&lt;=I$5,ROUNDDOWN((task_end-task_start+1)*task_progress,0)+task_start-1&gt;=I$5)</formula>
    </cfRule>
    <cfRule type="expression" dxfId="6" priority="7" stopIfTrue="1">
      <formula>AND(task_end&gt;=I$5,task_start&lt;J$5)</formula>
    </cfRule>
  </conditionalFormatting>
  <conditionalFormatting sqref="I15:BL19">
    <cfRule type="expression" dxfId="5" priority="4">
      <formula>AND(task_start&lt;=I$5,ROUNDDOWN((task_end-task_start+1)*task_progress,0)+task_start-1&gt;=I$5)</formula>
    </cfRule>
    <cfRule type="expression" dxfId="4" priority="5" stopIfTrue="1">
      <formula>AND(task_end&gt;=I$5,task_start&lt;J$5)</formula>
    </cfRule>
  </conditionalFormatting>
  <conditionalFormatting sqref="I21:BL2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27:BL31">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27031-643D-4B68-8CB9-E62D2D3355CC}">
  <dimension ref="A1:L17"/>
  <sheetViews>
    <sheetView tabSelected="1" workbookViewId="0">
      <selection activeCell="E8" sqref="E8"/>
    </sheetView>
  </sheetViews>
  <sheetFormatPr defaultRowHeight="14" x14ac:dyDescent="0.3"/>
  <sheetData>
    <row r="1" spans="1:12" x14ac:dyDescent="0.3">
      <c r="A1" s="41" t="s">
        <v>13</v>
      </c>
      <c r="C1" s="46" t="s">
        <v>14</v>
      </c>
      <c r="E1" s="46" t="s">
        <v>15</v>
      </c>
      <c r="G1" s="46" t="s">
        <v>16</v>
      </c>
      <c r="L1" s="46" t="s">
        <v>18</v>
      </c>
    </row>
    <row r="2" spans="1:12" x14ac:dyDescent="0.3">
      <c r="A2" t="s">
        <v>32</v>
      </c>
      <c r="C2" t="s">
        <v>33</v>
      </c>
      <c r="G2" t="s">
        <v>34</v>
      </c>
      <c r="L2" t="s">
        <v>35</v>
      </c>
    </row>
    <row r="3" spans="1:12" x14ac:dyDescent="0.3">
      <c r="A3" t="s">
        <v>36</v>
      </c>
      <c r="G3" t="s">
        <v>37</v>
      </c>
    </row>
    <row r="4" spans="1:12" x14ac:dyDescent="0.3">
      <c r="A4" t="s">
        <v>38</v>
      </c>
    </row>
    <row r="6" spans="1:12" x14ac:dyDescent="0.3">
      <c r="A6" s="56" t="s">
        <v>20</v>
      </c>
      <c r="C6" s="56" t="s">
        <v>22</v>
      </c>
      <c r="E6" s="56" t="s">
        <v>23</v>
      </c>
      <c r="G6" s="56" t="s">
        <v>25</v>
      </c>
    </row>
    <row r="7" spans="1:12" x14ac:dyDescent="0.3">
      <c r="A7" t="s">
        <v>39</v>
      </c>
      <c r="C7" t="s">
        <v>40</v>
      </c>
      <c r="E7" t="s">
        <v>41</v>
      </c>
      <c r="G7" t="s">
        <v>42</v>
      </c>
    </row>
    <row r="8" spans="1:12" x14ac:dyDescent="0.3">
      <c r="A8" t="s">
        <v>43</v>
      </c>
      <c r="C8" t="s">
        <v>44</v>
      </c>
      <c r="E8" t="s">
        <v>45</v>
      </c>
      <c r="G8" t="s">
        <v>46</v>
      </c>
    </row>
    <row r="9" spans="1:12" x14ac:dyDescent="0.3">
      <c r="C9" t="s">
        <v>47</v>
      </c>
      <c r="G9" t="s">
        <v>48</v>
      </c>
    </row>
    <row r="11" spans="1:12" x14ac:dyDescent="0.3">
      <c r="A11" s="66" t="s">
        <v>27</v>
      </c>
      <c r="C11" s="66" t="s">
        <v>28</v>
      </c>
      <c r="E11" s="66" t="s">
        <v>29</v>
      </c>
    </row>
    <row r="12" spans="1:12" x14ac:dyDescent="0.3">
      <c r="A12" t="s">
        <v>49</v>
      </c>
      <c r="C12" t="s">
        <v>49</v>
      </c>
    </row>
    <row r="13" spans="1:12" x14ac:dyDescent="0.3">
      <c r="A13" t="s">
        <v>50</v>
      </c>
      <c r="C13" t="s">
        <v>48</v>
      </c>
    </row>
    <row r="14" spans="1:12" x14ac:dyDescent="0.3">
      <c r="A14" t="s">
        <v>51</v>
      </c>
    </row>
    <row r="15" spans="1:12" x14ac:dyDescent="0.3">
      <c r="A15" t="s">
        <v>52</v>
      </c>
    </row>
    <row r="16" spans="1:12" x14ac:dyDescent="0.3">
      <c r="A16" t="s">
        <v>29</v>
      </c>
    </row>
    <row r="17" spans="1:1" x14ac:dyDescent="0.3">
      <c r="A17" t="s">
        <v>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To Do</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Redrup, Morgan</dc:creator>
  <cp:keywords/>
  <dc:description/>
  <cp:lastModifiedBy>Redrup, Morgan</cp:lastModifiedBy>
  <cp:revision/>
  <dcterms:created xsi:type="dcterms:W3CDTF">2022-03-11T22:41:12Z</dcterms:created>
  <dcterms:modified xsi:type="dcterms:W3CDTF">2025-10-31T22:50:16Z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